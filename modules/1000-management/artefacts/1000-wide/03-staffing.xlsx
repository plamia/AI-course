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n" sheetId="1" state="visible" r:id="rId1"/>
    <sheet name="Balanced" sheetId="2" state="visible" r:id="rId2"/>
    <sheet name="Fast" sheetId="3" state="visible" r:id="rId3"/>
    <sheet name="Summary &amp; 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2" fontId="5" fillId="0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4" borderId="2" pivotButton="0" quotePrefix="0" xfId="0"/>
    <xf numFmtId="2" fontId="4" fillId="4" borderId="2" applyAlignment="1" pivotButton="0" quotePrefix="0" xfId="0">
      <alignment horizontal="right" vertical="center"/>
    </xf>
    <xf numFmtId="0" fontId="4" fillId="4" borderId="1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55" customWidth="1" min="1" max="1"/>
    <col width="2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>
      <c r="A1" s="1" t="inlineStr">
        <is>
          <t>Staffing Variant: Lean</t>
        </is>
      </c>
    </row>
    <row r="2">
      <c r="A2" s="2" t="inlineStr">
        <is>
          <t>Bet: Optimises strictly for commercial budget (15% Onshore / 15% Nearshore / 70% Offshore); trades schedule margin by pushing site cutovers to Month 12.</t>
        </is>
      </c>
    </row>
    <row r="3"/>
    <row r="4">
      <c r="A4" s="3" t="inlineStr">
        <is>
          <t>Role</t>
        </is>
      </c>
      <c r="B4" s="3" t="inlineStr">
        <is>
          <t>Grade / Location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Total FTE-Mo</t>
        </is>
      </c>
    </row>
    <row r="5">
      <c r="A5" s="5" t="inlineStr">
        <is>
          <t>Delivery Lead</t>
        </is>
      </c>
      <c r="B5" s="6" t="inlineStr">
        <is>
          <t>Lead (Onshore)</t>
        </is>
      </c>
      <c r="C5" s="7" t="n">
        <v>0.25</v>
      </c>
      <c r="D5" s="7" t="n">
        <v>0.25</v>
      </c>
      <c r="E5" s="7" t="n">
        <v>0.25</v>
      </c>
      <c r="F5" s="7" t="n">
        <v>0.25</v>
      </c>
      <c r="G5" s="7" t="n">
        <v>0.25</v>
      </c>
      <c r="H5" s="7" t="n">
        <v>0.25</v>
      </c>
      <c r="I5" s="7" t="n">
        <v>0.25</v>
      </c>
      <c r="J5" s="7" t="n">
        <v>0.25</v>
      </c>
      <c r="K5" s="7" t="n">
        <v>0.25</v>
      </c>
      <c r="L5" s="7" t="n">
        <v>0.25</v>
      </c>
      <c r="M5" s="7" t="n">
        <v>0.25</v>
      </c>
      <c r="N5" s="7" t="n">
        <v>0.25</v>
      </c>
      <c r="O5" s="8">
        <f>SUM(C5:N5)</f>
        <v/>
      </c>
    </row>
    <row r="6">
      <c r="A6" s="5" t="inlineStr">
        <is>
          <t>Enterprise Architect</t>
        </is>
      </c>
      <c r="B6" s="6" t="inlineStr">
        <is>
          <t>Senior (Onshore)</t>
        </is>
      </c>
      <c r="C6" s="7" t="n">
        <v>0.5</v>
      </c>
      <c r="D6" s="7" t="n">
        <v>0.5</v>
      </c>
      <c r="E6" s="7" t="n">
        <v>0.25</v>
      </c>
      <c r="F6" s="7" t="n">
        <v>0.1</v>
      </c>
      <c r="G6" s="7" t="n">
        <v>0.1</v>
      </c>
      <c r="H6" s="7" t="n">
        <v>0.1</v>
      </c>
      <c r="I6" s="7" t="n">
        <v>0.1</v>
      </c>
      <c r="J6" s="7" t="n">
        <v>0.1</v>
      </c>
      <c r="K6" s="7" t="n">
        <v>0.1</v>
      </c>
      <c r="L6" s="7" t="n">
        <v>0.1</v>
      </c>
      <c r="M6" s="7" t="n">
        <v>0.1</v>
      </c>
      <c r="N6" s="7" t="n">
        <v>0.1</v>
      </c>
      <c r="O6" s="8">
        <f>SUM(C6:N6)</f>
        <v/>
      </c>
    </row>
    <row r="7">
      <c r="A7" s="5" t="inlineStr">
        <is>
          <t>Integration Tech Lead</t>
        </is>
      </c>
      <c r="B7" s="6" t="inlineStr">
        <is>
          <t>Senior (Nearshore)</t>
        </is>
      </c>
      <c r="C7" s="7" t="n">
        <v>0.5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8">
        <f>SUM(C7:N7)</f>
        <v/>
      </c>
    </row>
    <row r="8">
      <c r="A8" s="5" t="inlineStr">
        <is>
          <t>Backend / API Dev (2x)</t>
        </is>
      </c>
      <c r="B8" s="6" t="inlineStr">
        <is>
          <t>Middle (Offshore)</t>
        </is>
      </c>
      <c r="C8" s="7" t="n">
        <v>0.3</v>
      </c>
      <c r="D8" s="7" t="n">
        <v>0.8</v>
      </c>
      <c r="E8" s="7" t="n">
        <v>2</v>
      </c>
      <c r="F8" s="7" t="n">
        <v>2</v>
      </c>
      <c r="G8" s="7" t="n">
        <v>2</v>
      </c>
      <c r="H8" s="7" t="n">
        <v>2</v>
      </c>
      <c r="I8" s="7" t="n">
        <v>2</v>
      </c>
      <c r="J8" s="7" t="n">
        <v>1</v>
      </c>
      <c r="K8" s="7" t="n">
        <v>1</v>
      </c>
      <c r="L8" s="7" t="n">
        <v>1</v>
      </c>
      <c r="M8" s="7" t="n">
        <v>0.5</v>
      </c>
      <c r="N8" s="7" t="n">
        <v>0.2</v>
      </c>
      <c r="O8" s="8">
        <f>SUM(C8:N8)</f>
        <v/>
      </c>
    </row>
    <row r="9">
      <c r="A9" s="5" t="inlineStr">
        <is>
          <t>Frontend Portal Dev (2x)</t>
        </is>
      </c>
      <c r="B9" s="6" t="inlineStr">
        <is>
          <t>Middle (Offshore)</t>
        </is>
      </c>
      <c r="C9" s="7" t="n">
        <v>0</v>
      </c>
      <c r="D9" s="7" t="n">
        <v>0.3</v>
      </c>
      <c r="E9" s="7" t="n">
        <v>1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1</v>
      </c>
      <c r="K9" s="7" t="n">
        <v>1</v>
      </c>
      <c r="L9" s="7" t="n">
        <v>0.5</v>
      </c>
      <c r="M9" s="7" t="n">
        <v>0.5</v>
      </c>
      <c r="N9" s="7" t="n">
        <v>0.2</v>
      </c>
      <c r="O9" s="8">
        <f>SUM(C9:N9)</f>
        <v/>
      </c>
    </row>
    <row r="10">
      <c r="A10" s="5" t="inlineStr">
        <is>
          <t>AI / Data Engineer</t>
        </is>
      </c>
      <c r="B10" s="6" t="inlineStr">
        <is>
          <t>Senior (Offshore)</t>
        </is>
      </c>
      <c r="C10" s="7" t="n">
        <v>0</v>
      </c>
      <c r="D10" s="7" t="n">
        <v>0.2</v>
      </c>
      <c r="E10" s="7" t="n">
        <v>0.5</v>
      </c>
      <c r="F10" s="7" t="n">
        <v>0.5</v>
      </c>
      <c r="G10" s="7" t="n">
        <v>0.5</v>
      </c>
      <c r="H10" s="7" t="n">
        <v>0.5</v>
      </c>
      <c r="I10" s="7" t="n">
        <v>1</v>
      </c>
      <c r="J10" s="7" t="n">
        <v>1</v>
      </c>
      <c r="K10" s="7" t="n">
        <v>1</v>
      </c>
      <c r="L10" s="7" t="n">
        <v>0.5</v>
      </c>
      <c r="M10" s="7" t="n">
        <v>0.2</v>
      </c>
      <c r="N10" s="7" t="n">
        <v>0.1</v>
      </c>
      <c r="O10" s="8">
        <f>SUM(C10:N10)</f>
        <v/>
      </c>
    </row>
    <row r="11">
      <c r="A11" s="5" t="inlineStr">
        <is>
          <t>QA Automation Lead</t>
        </is>
      </c>
      <c r="B11" s="6" t="inlineStr">
        <is>
          <t>Middle (Offshore)</t>
        </is>
      </c>
      <c r="C11" s="7" t="n">
        <v>0.2</v>
      </c>
      <c r="D11" s="7" t="n">
        <v>0.5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0.5</v>
      </c>
      <c r="O11" s="8">
        <f>SUM(C11:N11)</f>
        <v/>
      </c>
    </row>
    <row r="12">
      <c r="A12" s="9" t="inlineStr">
        <is>
          <t>TOTAL MONTHLY FTEs</t>
        </is>
      </c>
      <c r="B12" s="9" t="inlineStr"/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71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>
      <c r="A1" s="1" t="inlineStr">
        <is>
          <t>Staffing Variant: Balanced</t>
        </is>
      </c>
    </row>
    <row r="2">
      <c r="A2" s="2" t="inlineStr">
        <is>
          <t>Bet: Optimises for predictable milestone delivery on hard 12-month contract deadline using EPAM blended model (30% Onshore / 40% Nearshore / 30% Offshore). RECOMMENDED.</t>
        </is>
      </c>
    </row>
    <row r="3"/>
    <row r="4">
      <c r="A4" s="3" t="inlineStr">
        <is>
          <t>Role</t>
        </is>
      </c>
      <c r="B4" s="3" t="inlineStr">
        <is>
          <t>Grade / Location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Total FTE-Mo</t>
        </is>
      </c>
    </row>
    <row r="5">
      <c r="A5" s="5" t="inlineStr">
        <is>
          <t>Delivery Manager</t>
        </is>
      </c>
      <c r="B5" s="6" t="inlineStr">
        <is>
          <t>Lead (Onshore)</t>
        </is>
      </c>
      <c r="C5" s="7" t="n">
        <v>1</v>
      </c>
      <c r="D5" s="7" t="n">
        <v>1</v>
      </c>
      <c r="E5" s="7" t="n">
        <v>0.5</v>
      </c>
      <c r="F5" s="7" t="n">
        <v>0.5</v>
      </c>
      <c r="G5" s="7" t="n">
        <v>0.5</v>
      </c>
      <c r="H5" s="7" t="n">
        <v>0.5</v>
      </c>
      <c r="I5" s="7" t="n">
        <v>0.5</v>
      </c>
      <c r="J5" s="7" t="n">
        <v>0.5</v>
      </c>
      <c r="K5" s="7" t="n">
        <v>0.5</v>
      </c>
      <c r="L5" s="7" t="n">
        <v>1</v>
      </c>
      <c r="M5" s="7" t="n">
        <v>1</v>
      </c>
      <c r="N5" s="7" t="n">
        <v>1</v>
      </c>
      <c r="O5" s="8">
        <f>SUM(C5:N5)</f>
        <v/>
      </c>
    </row>
    <row r="6">
      <c r="A6" s="5" t="inlineStr">
        <is>
          <t>Enterprise Architect</t>
        </is>
      </c>
      <c r="B6" s="6" t="inlineStr">
        <is>
          <t>Lead (Onshore)</t>
        </is>
      </c>
      <c r="C6" s="7" t="n">
        <v>1</v>
      </c>
      <c r="D6" s="7" t="n">
        <v>1</v>
      </c>
      <c r="E6" s="7" t="n">
        <v>0.5</v>
      </c>
      <c r="F6" s="7" t="n">
        <v>0.25</v>
      </c>
      <c r="G6" s="7" t="n">
        <v>0.25</v>
      </c>
      <c r="H6" s="7" t="n">
        <v>0.25</v>
      </c>
      <c r="I6" s="7" t="n">
        <v>0.25</v>
      </c>
      <c r="J6" s="7" t="n">
        <v>0.25</v>
      </c>
      <c r="K6" s="7" t="n">
        <v>0.5</v>
      </c>
      <c r="L6" s="7" t="n">
        <v>0.25</v>
      </c>
      <c r="M6" s="7" t="n">
        <v>0.25</v>
      </c>
      <c r="N6" s="7" t="n">
        <v>0.25</v>
      </c>
      <c r="O6" s="8">
        <f>SUM(C6:N6)</f>
        <v/>
      </c>
    </row>
    <row r="7">
      <c r="A7" s="5" t="inlineStr">
        <is>
          <t>Business Analyst / PROD</t>
        </is>
      </c>
      <c r="B7" s="6" t="inlineStr">
        <is>
          <t>Senior (Onshore)</t>
        </is>
      </c>
      <c r="C7" s="7" t="n">
        <v>0.5</v>
      </c>
      <c r="D7" s="7" t="n">
        <v>1</v>
      </c>
      <c r="E7" s="7" t="n">
        <v>1</v>
      </c>
      <c r="F7" s="7" t="n">
        <v>0.5</v>
      </c>
      <c r="G7" s="7" t="n">
        <v>0.5</v>
      </c>
      <c r="H7" s="7" t="n">
        <v>0.5</v>
      </c>
      <c r="I7" s="7" t="n">
        <v>0.5</v>
      </c>
      <c r="J7" s="7" t="n">
        <v>0.5</v>
      </c>
      <c r="K7" s="7" t="n">
        <v>0.5</v>
      </c>
      <c r="L7" s="7" t="n">
        <v>0.5</v>
      </c>
      <c r="M7" s="7" t="n">
        <v>0.5</v>
      </c>
      <c r="N7" s="7" t="n">
        <v>0.25</v>
      </c>
      <c r="O7" s="8">
        <f>SUM(C7:N7)</f>
        <v/>
      </c>
    </row>
    <row r="8">
      <c r="A8" s="5" t="inlineStr">
        <is>
          <t>Integration Tech Lead</t>
        </is>
      </c>
      <c r="B8" s="6" t="inlineStr">
        <is>
          <t>Senior (Nearshore)</t>
        </is>
      </c>
      <c r="C8" s="7" t="n">
        <v>0.5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0.5</v>
      </c>
      <c r="O8" s="8">
        <f>SUM(C8:N8)</f>
        <v/>
      </c>
    </row>
    <row r="9">
      <c r="A9" s="5" t="inlineStr">
        <is>
          <t>Backend / API Devs (3x)</t>
        </is>
      </c>
      <c r="B9" s="6" t="inlineStr">
        <is>
          <t>Middle (Nearshore)</t>
        </is>
      </c>
      <c r="C9" s="7" t="n">
        <v>0.5</v>
      </c>
      <c r="D9" s="7" t="n">
        <v>1.5</v>
      </c>
      <c r="E9" s="7" t="n">
        <v>3</v>
      </c>
      <c r="F9" s="7" t="n">
        <v>3</v>
      </c>
      <c r="G9" s="7" t="n">
        <v>3</v>
      </c>
      <c r="H9" s="7" t="n">
        <v>3</v>
      </c>
      <c r="I9" s="7" t="n">
        <v>3</v>
      </c>
      <c r="J9" s="7" t="n">
        <v>2</v>
      </c>
      <c r="K9" s="7" t="n">
        <v>2</v>
      </c>
      <c r="L9" s="7" t="n">
        <v>1</v>
      </c>
      <c r="M9" s="7" t="n">
        <v>1</v>
      </c>
      <c r="N9" s="7" t="n">
        <v>0.5</v>
      </c>
      <c r="O9" s="8">
        <f>SUM(C9:N9)</f>
        <v/>
      </c>
    </row>
    <row r="10">
      <c r="A10" s="5" t="inlineStr">
        <is>
          <t>Frontend Portal Devs (2x)</t>
        </is>
      </c>
      <c r="B10" s="6" t="inlineStr">
        <is>
          <t>Middle (Offshore)</t>
        </is>
      </c>
      <c r="C10" s="7" t="n">
        <v>0</v>
      </c>
      <c r="D10" s="7" t="n">
        <v>0.5</v>
      </c>
      <c r="E10" s="7" t="n">
        <v>2</v>
      </c>
      <c r="F10" s="7" t="n">
        <v>2</v>
      </c>
      <c r="G10" s="7" t="n">
        <v>2</v>
      </c>
      <c r="H10" s="7" t="n">
        <v>2</v>
      </c>
      <c r="I10" s="7" t="n">
        <v>2</v>
      </c>
      <c r="J10" s="7" t="n">
        <v>2</v>
      </c>
      <c r="K10" s="7" t="n">
        <v>1</v>
      </c>
      <c r="L10" s="7" t="n">
        <v>1</v>
      </c>
      <c r="M10" s="7" t="n">
        <v>0.5</v>
      </c>
      <c r="N10" s="7" t="n">
        <v>0.2</v>
      </c>
      <c r="O10" s="8">
        <f>SUM(C10:N10)</f>
        <v/>
      </c>
    </row>
    <row r="11">
      <c r="A11" s="5" t="inlineStr">
        <is>
          <t>AI / Data Engineer (2x)</t>
        </is>
      </c>
      <c r="B11" s="6" t="inlineStr">
        <is>
          <t>Senior (Offshore)</t>
        </is>
      </c>
      <c r="C11" s="7" t="n">
        <v>0</v>
      </c>
      <c r="D11" s="7" t="n">
        <v>0.5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2</v>
      </c>
      <c r="J11" s="7" t="n">
        <v>2</v>
      </c>
      <c r="K11" s="7" t="n">
        <v>2</v>
      </c>
      <c r="L11" s="7" t="n">
        <v>1</v>
      </c>
      <c r="M11" s="7" t="n">
        <v>0.5</v>
      </c>
      <c r="N11" s="7" t="n">
        <v>0.25</v>
      </c>
      <c r="O11" s="8">
        <f>SUM(C11:N11)</f>
        <v/>
      </c>
    </row>
    <row r="12">
      <c r="A12" s="5" t="inlineStr">
        <is>
          <t>QA Lead &amp; Automation (2x)</t>
        </is>
      </c>
      <c r="B12" s="6" t="inlineStr">
        <is>
          <t>Senior/Mid (Nearshore)</t>
        </is>
      </c>
      <c r="C12" s="7" t="n">
        <v>0.3</v>
      </c>
      <c r="D12" s="7" t="n">
        <v>1</v>
      </c>
      <c r="E12" s="7" t="n">
        <v>2</v>
      </c>
      <c r="F12" s="7" t="n">
        <v>2</v>
      </c>
      <c r="G12" s="7" t="n">
        <v>2</v>
      </c>
      <c r="H12" s="7" t="n">
        <v>2</v>
      </c>
      <c r="I12" s="7" t="n">
        <v>2</v>
      </c>
      <c r="J12" s="7" t="n">
        <v>2</v>
      </c>
      <c r="K12" s="7" t="n">
        <v>2</v>
      </c>
      <c r="L12" s="7" t="n">
        <v>2</v>
      </c>
      <c r="M12" s="7" t="n">
        <v>1</v>
      </c>
      <c r="N12" s="7" t="n">
        <v>0.5</v>
      </c>
      <c r="O12" s="8">
        <f>SUM(C12:N12)</f>
        <v/>
      </c>
    </row>
    <row r="13">
      <c r="A13" s="9" t="inlineStr">
        <is>
          <t>TOTAL MONTHLY FTEs</t>
        </is>
      </c>
      <c r="B13" s="9" t="inlineStr"/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  <c r="G13" s="10">
        <f>SUM(G5:G12)</f>
        <v/>
      </c>
      <c r="H13" s="10">
        <f>SUM(H5:H12)</f>
        <v/>
      </c>
      <c r="I13" s="10">
        <f>SUM(I5:I12)</f>
        <v/>
      </c>
      <c r="J13" s="10">
        <f>SUM(J5:J12)</f>
        <v/>
      </c>
      <c r="K13" s="10">
        <f>SUM(K5:K12)</f>
        <v/>
      </c>
      <c r="L13" s="10">
        <f>SUM(L5:L12)</f>
        <v/>
      </c>
      <c r="M13" s="10">
        <f>SUM(M5:M12)</f>
        <v/>
      </c>
      <c r="N13" s="10">
        <f>SUM(N5:N12)</f>
        <v/>
      </c>
      <c r="O13" s="10">
        <f>SUM(O5:O12)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6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>
      <c r="A1" s="1" t="inlineStr">
        <is>
          <t>Staffing Variant: Fast</t>
        </is>
      </c>
    </row>
    <row r="2">
      <c r="A2" s="2" t="inlineStr">
        <is>
          <t>Bet: Optimises for schedule compression and early site enablement via high onshore co-location (50% Onshore / 30% Nearshore / 20% Offshore); trades higher burn.</t>
        </is>
      </c>
    </row>
    <row r="3"/>
    <row r="4">
      <c r="A4" s="3" t="inlineStr">
        <is>
          <t>Role</t>
        </is>
      </c>
      <c r="B4" s="3" t="inlineStr">
        <is>
          <t>Grade / Location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Total FTE-Mo</t>
        </is>
      </c>
    </row>
    <row r="5">
      <c r="A5" s="5" t="inlineStr">
        <is>
          <t>Program Manager</t>
        </is>
      </c>
      <c r="B5" s="6" t="inlineStr">
        <is>
          <t>Principal (Onshore)</t>
        </is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7" t="n">
        <v>1</v>
      </c>
      <c r="L5" s="7" t="n">
        <v>0.5</v>
      </c>
      <c r="M5" s="7" t="n">
        <v>0.5</v>
      </c>
      <c r="N5" s="7" t="n">
        <v>0.25</v>
      </c>
      <c r="O5" s="8">
        <f>SUM(C5:N5)</f>
        <v/>
      </c>
    </row>
    <row r="6">
      <c r="A6" s="5" t="inlineStr">
        <is>
          <t>Enterprise Architect</t>
        </is>
      </c>
      <c r="B6" s="6" t="inlineStr">
        <is>
          <t>Lead (Onshore)</t>
        </is>
      </c>
      <c r="C6" s="7" t="n">
        <v>1</v>
      </c>
      <c r="D6" s="7" t="n">
        <v>1</v>
      </c>
      <c r="E6" s="7" t="n">
        <v>1</v>
      </c>
      <c r="F6" s="7" t="n">
        <v>0.5</v>
      </c>
      <c r="G6" s="7" t="n">
        <v>0.5</v>
      </c>
      <c r="H6" s="7" t="n">
        <v>0.5</v>
      </c>
      <c r="I6" s="7" t="n">
        <v>0.5</v>
      </c>
      <c r="J6" s="7" t="n">
        <v>0.5</v>
      </c>
      <c r="K6" s="7" t="n">
        <v>0.5</v>
      </c>
      <c r="L6" s="7" t="n">
        <v>0.25</v>
      </c>
      <c r="M6" s="7" t="n">
        <v>0.25</v>
      </c>
      <c r="N6" s="7" t="n">
        <v>0.1</v>
      </c>
      <c r="O6" s="8">
        <f>SUM(C6:N6)</f>
        <v/>
      </c>
    </row>
    <row r="7">
      <c r="A7" s="5" t="inlineStr">
        <is>
          <t>Onshore Integration Leads (2x)</t>
        </is>
      </c>
      <c r="B7" s="6" t="inlineStr">
        <is>
          <t>Lead (Onshore)</t>
        </is>
      </c>
      <c r="C7" s="7" t="n">
        <v>1</v>
      </c>
      <c r="D7" s="7" t="n">
        <v>2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2</v>
      </c>
      <c r="J7" s="7" t="n">
        <v>2</v>
      </c>
      <c r="K7" s="7" t="n">
        <v>1</v>
      </c>
      <c r="L7" s="7" t="n">
        <v>0.5</v>
      </c>
      <c r="M7" s="7" t="n">
        <v>0.5</v>
      </c>
      <c r="N7" s="7" t="n">
        <v>0.25</v>
      </c>
      <c r="O7" s="8">
        <f>SUM(C7:N7)</f>
        <v/>
      </c>
    </row>
    <row r="8">
      <c r="A8" s="5" t="inlineStr">
        <is>
          <t>Backend API Devs (4x)</t>
        </is>
      </c>
      <c r="B8" s="6" t="inlineStr">
        <is>
          <t>Mid/Sr (Nearshore)</t>
        </is>
      </c>
      <c r="C8" s="7" t="n">
        <v>1</v>
      </c>
      <c r="D8" s="7" t="n">
        <v>3</v>
      </c>
      <c r="E8" s="7" t="n">
        <v>4</v>
      </c>
      <c r="F8" s="7" t="n">
        <v>4</v>
      </c>
      <c r="G8" s="7" t="n">
        <v>4</v>
      </c>
      <c r="H8" s="7" t="n">
        <v>4</v>
      </c>
      <c r="I8" s="7" t="n">
        <v>3</v>
      </c>
      <c r="J8" s="7" t="n">
        <v>2</v>
      </c>
      <c r="K8" s="7" t="n">
        <v>1</v>
      </c>
      <c r="L8" s="7" t="n">
        <v>0.5</v>
      </c>
      <c r="M8" s="7" t="n">
        <v>0.25</v>
      </c>
      <c r="N8" s="7" t="n">
        <v>0.1</v>
      </c>
      <c r="O8" s="8">
        <f>SUM(C8:N8)</f>
        <v/>
      </c>
    </row>
    <row r="9">
      <c r="A9" s="5" t="inlineStr">
        <is>
          <t>Frontend Devs (3x)</t>
        </is>
      </c>
      <c r="B9" s="6" t="inlineStr">
        <is>
          <t>Mid (Nearshore)</t>
        </is>
      </c>
      <c r="C9" s="7" t="n">
        <v>0.5</v>
      </c>
      <c r="D9" s="7" t="n">
        <v>2</v>
      </c>
      <c r="E9" s="7" t="n">
        <v>3</v>
      </c>
      <c r="F9" s="7" t="n">
        <v>3</v>
      </c>
      <c r="G9" s="7" t="n">
        <v>3</v>
      </c>
      <c r="H9" s="7" t="n">
        <v>3</v>
      </c>
      <c r="I9" s="7" t="n">
        <v>2</v>
      </c>
      <c r="J9" s="7" t="n">
        <v>1</v>
      </c>
      <c r="K9" s="7" t="n">
        <v>1</v>
      </c>
      <c r="L9" s="7" t="n">
        <v>0.5</v>
      </c>
      <c r="M9" s="7" t="n">
        <v>0.2</v>
      </c>
      <c r="N9" s="7" t="n">
        <v>0.1</v>
      </c>
      <c r="O9" s="8">
        <f>SUM(C9:N9)</f>
        <v/>
      </c>
    </row>
    <row r="10">
      <c r="A10" s="5" t="inlineStr">
        <is>
          <t>AI Engineers (3x)</t>
        </is>
      </c>
      <c r="B10" s="6" t="inlineStr">
        <is>
          <t>Senior (Onshore/NS)</t>
        </is>
      </c>
      <c r="C10" s="7" t="n">
        <v>0.5</v>
      </c>
      <c r="D10" s="7" t="n">
        <v>1.5</v>
      </c>
      <c r="E10" s="7" t="n">
        <v>3</v>
      </c>
      <c r="F10" s="7" t="n">
        <v>3</v>
      </c>
      <c r="G10" s="7" t="n">
        <v>3</v>
      </c>
      <c r="H10" s="7" t="n">
        <v>3</v>
      </c>
      <c r="I10" s="7" t="n">
        <v>3</v>
      </c>
      <c r="J10" s="7" t="n">
        <v>2</v>
      </c>
      <c r="K10" s="7" t="n">
        <v>1</v>
      </c>
      <c r="L10" s="7" t="n">
        <v>0.5</v>
      </c>
      <c r="M10" s="7" t="n">
        <v>0.2</v>
      </c>
      <c r="N10" s="7" t="n">
        <v>0.1</v>
      </c>
      <c r="O10" s="8">
        <f>SUM(C10:N10)</f>
        <v/>
      </c>
    </row>
    <row r="11">
      <c r="A11" s="5" t="inlineStr">
        <is>
          <t>QA Engineers (4x)</t>
        </is>
      </c>
      <c r="B11" s="6" t="inlineStr">
        <is>
          <t>Mid (Offshore)</t>
        </is>
      </c>
      <c r="C11" s="7" t="n">
        <v>1</v>
      </c>
      <c r="D11" s="7" t="n">
        <v>2</v>
      </c>
      <c r="E11" s="7" t="n">
        <v>4</v>
      </c>
      <c r="F11" s="7" t="n">
        <v>4</v>
      </c>
      <c r="G11" s="7" t="n">
        <v>4</v>
      </c>
      <c r="H11" s="7" t="n">
        <v>4</v>
      </c>
      <c r="I11" s="7" t="n">
        <v>4</v>
      </c>
      <c r="J11" s="7" t="n">
        <v>3</v>
      </c>
      <c r="K11" s="7" t="n">
        <v>2</v>
      </c>
      <c r="L11" s="7" t="n">
        <v>1</v>
      </c>
      <c r="M11" s="7" t="n">
        <v>0.5</v>
      </c>
      <c r="N11" s="7" t="n">
        <v>0.25</v>
      </c>
      <c r="O11" s="8">
        <f>SUM(C11:N11)</f>
        <v/>
      </c>
    </row>
    <row r="12">
      <c r="A12" s="5" t="inlineStr">
        <is>
          <t>Change &amp; Training Lead</t>
        </is>
      </c>
      <c r="B12" s="6" t="inlineStr">
        <is>
          <t>Senior (Onshore)</t>
        </is>
      </c>
      <c r="C12" s="7" t="n">
        <v>0.25</v>
      </c>
      <c r="D12" s="7" t="n">
        <v>0.5</v>
      </c>
      <c r="E12" s="7" t="n">
        <v>0.5</v>
      </c>
      <c r="F12" s="7" t="n">
        <v>0.5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0.5</v>
      </c>
      <c r="N12" s="7" t="n">
        <v>0.25</v>
      </c>
      <c r="O12" s="8">
        <f>SUM(C12:N12)</f>
        <v/>
      </c>
    </row>
    <row r="13">
      <c r="A13" s="9" t="inlineStr">
        <is>
          <t>TOTAL MONTHLY FTEs</t>
        </is>
      </c>
      <c r="B13" s="9" t="inlineStr"/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  <c r="G13" s="10">
        <f>SUM(G5:G12)</f>
        <v/>
      </c>
      <c r="H13" s="10">
        <f>SUM(H5:H12)</f>
        <v/>
      </c>
      <c r="I13" s="10">
        <f>SUM(I5:I12)</f>
        <v/>
      </c>
      <c r="J13" s="10">
        <f>SUM(J5:J12)</f>
        <v/>
      </c>
      <c r="K13" s="10">
        <f>SUM(K5:K12)</f>
        <v/>
      </c>
      <c r="L13" s="10">
        <f>SUM(L5:L12)</f>
        <v/>
      </c>
      <c r="M13" s="10">
        <f>SUM(M5:M12)</f>
        <v/>
      </c>
      <c r="N13" s="10">
        <f>SUM(N5:N12)</f>
        <v/>
      </c>
      <c r="O13" s="10">
        <f>SUM(O5:O12)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95" customWidth="1" min="1" max="1"/>
    <col width="31" customWidth="1" min="2" max="2"/>
    <col width="33" customWidth="1" min="3" max="3"/>
    <col width="37" customWidth="1" min="4" max="4"/>
  </cols>
  <sheetData>
    <row r="1">
      <c r="A1" s="1" t="inlineStr">
        <is>
          <t>Staffing Variants Trade-Off &amp; Recommendation</t>
        </is>
      </c>
    </row>
    <row r="2"/>
    <row r="3">
      <c r="A3" s="3" t="inlineStr">
        <is>
          <t>Metric / Dimension</t>
        </is>
      </c>
      <c r="B3" s="4" t="inlineStr">
        <is>
          <t>Lean Variant</t>
        </is>
      </c>
      <c r="C3" s="4" t="inlineStr">
        <is>
          <t>Balanced Variant (Recommended)</t>
        </is>
      </c>
      <c r="D3" s="4" t="inlineStr">
        <is>
          <t>Fast Variant</t>
        </is>
      </c>
    </row>
    <row r="4">
      <c r="A4" s="6" t="inlineStr">
        <is>
          <t>Total FTE-Months</t>
        </is>
      </c>
      <c r="B4" s="6">
        <f>Lean!O12</f>
        <v/>
      </c>
      <c r="C4" s="11">
        <f>Balanced!O13</f>
        <v/>
      </c>
      <c r="D4" s="6">
        <f>Fast!O13</f>
        <v/>
      </c>
    </row>
    <row r="5">
      <c r="A5" s="6" t="inlineStr">
        <is>
          <t>Delivery Model Split</t>
        </is>
      </c>
      <c r="B5" s="6" t="inlineStr">
        <is>
          <t>15% On / 15% NS / 70% Off</t>
        </is>
      </c>
      <c r="C5" s="11" t="inlineStr">
        <is>
          <t>30% On / 40% NS / 30% Off</t>
        </is>
      </c>
      <c r="D5" s="6" t="inlineStr">
        <is>
          <t>50% On / 30% NS / 20% Off</t>
        </is>
      </c>
    </row>
    <row r="6">
      <c r="A6" s="6" t="inlineStr">
        <is>
          <t>Target Go-Live Schedule</t>
        </is>
      </c>
      <c r="B6" s="6" t="inlineStr">
        <is>
          <t>Month 12 (High Cutover Risk)</t>
        </is>
      </c>
      <c r="C6" s="11" t="inlineStr">
        <is>
          <t>Month 11 + 4 Wk Buffer</t>
        </is>
      </c>
      <c r="D6" s="6" t="inlineStr">
        <is>
          <t>Month 9.5 (2.5 Mo Early)</t>
        </is>
      </c>
    </row>
    <row r="7">
      <c r="A7" s="6" t="inlineStr">
        <is>
          <t>Commercial Cost Index</t>
        </is>
      </c>
      <c r="B7" s="6" t="inlineStr">
        <is>
          <t>1.00x (Baseline)</t>
        </is>
      </c>
      <c r="C7" s="11" t="inlineStr">
        <is>
          <t>1.55x</t>
        </is>
      </c>
      <c r="D7" s="6" t="inlineStr">
        <is>
          <t>2.35x</t>
        </is>
      </c>
    </row>
    <row r="8">
      <c r="A8" s="6" t="inlineStr">
        <is>
          <t>Primary Delivery Risk</t>
        </is>
      </c>
      <c r="B8" s="6" t="inlineStr">
        <is>
          <t>Resource bottleneck in M12</t>
        </is>
      </c>
      <c r="C8" s="11" t="inlineStr">
        <is>
          <t>Balanced risk profile</t>
        </is>
      </c>
      <c r="D8" s="6" t="inlineStr">
        <is>
          <t>Excessive client coordination load</t>
        </is>
      </c>
    </row>
    <row r="9"/>
    <row r="10">
      <c r="A10" s="1" t="inlineStr">
        <is>
          <t>Delivery Lead Recommendation</t>
        </is>
      </c>
    </row>
    <row r="11">
      <c r="A11" s="12" t="inlineStr">
        <is>
          <t>We strongly recommend the BALANCED VARIANT (99.0 FTE-Months).
• Lean Variant (60.7 FTE-Mo) creates an unacceptably high risk profile. Its 70% offshore split without dedicated onshore BA in Months 1–2 will cause legacy schema discovery bottlenecks that endanger the hard 12-month deadline.
• Fast Variant (139.3 FTE-Mo) compresses schedule to 9.5 months but increases cost by +52% over Balanced and places an unrealistic operational burden on site leads for parallel UAT.
• Balanced Variant achieves optimal trade-off: dedicated onshore architecture during Discovery (Phases 1–2), nearshore tech leads for real-time client collaboration, and a 4-week schedule buffer prior to contract expiry.</t>
        </is>
      </c>
    </row>
    <row r="12"/>
    <row r="13"/>
    <row r="14"/>
    <row r="15"/>
    <row r="16"/>
  </sheetData>
  <mergeCells count="1">
    <mergeCell ref="A11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2026-09-27T18:56:50Z</dcterms:created>
  <dcterms:modified xsi:type="dcterms:W3CDTF">2026-09-27T18:56:51Z</dcterms:modified>
</cp:coreProperties>
</file>