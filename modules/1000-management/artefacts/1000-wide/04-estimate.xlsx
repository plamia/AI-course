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imate Summary" sheetId="1" state="visible" r:id="rId1"/>
    <sheet name="Risk Register" sheetId="2" state="visible" r:id="rId2"/>
    <sheet name="Assumption Register" sheetId="3" state="visible" r:id="rId3"/>
    <sheet name="Commercial Model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"/>
  </numFmts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9EEF4"/>
        <bgColor rgb="00E9EEF4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5" fillId="3" borderId="1" pivotButton="0" quotePrefix="0" xfId="0"/>
    <xf numFmtId="0" fontId="4" fillId="3" borderId="1" pivotButton="0" quotePrefix="0" xfId="0"/>
    <xf numFmtId="0" fontId="4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0" fontId="5" fillId="0" borderId="1" pivotButton="0" quotePrefix="0" xfId="0"/>
    <xf numFmtId="164" fontId="5" fillId="0" borderId="1" applyAlignment="1" pivotButton="0" quotePrefix="0" xfId="0">
      <alignment horizontal="right" vertical="center"/>
    </xf>
    <xf numFmtId="0" fontId="4" fillId="4" borderId="1" pivotButton="0" quotePrefix="0" xfId="0"/>
    <xf numFmtId="0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4" fillId="5" borderId="1" pivotButton="0" quotePrefix="0" xfId="0"/>
    <xf numFmtId="0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5" fillId="6" borderId="2" pivotButton="0" quotePrefix="0" xfId="0"/>
    <xf numFmtId="0" fontId="4" fillId="6" borderId="2" pivotButton="0" quotePrefix="0" xfId="0"/>
    <xf numFmtId="0" fontId="4" fillId="6" borderId="2" applyAlignment="1" pivotButton="0" quotePrefix="0" xfId="0">
      <alignment horizontal="right" vertical="center"/>
    </xf>
    <xf numFmtId="164" fontId="5" fillId="6" borderId="2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5" fillId="4" borderId="2" pivotButton="0" quotePrefix="0" xfId="0"/>
    <xf numFmtId="0" fontId="0" fillId="4" borderId="2" pivotButton="0" quotePrefix="0" xfId="0"/>
    <xf numFmtId="164" fontId="5" fillId="4" borderId="2" pivotButton="0" quotePrefix="0" xfId="0"/>
    <xf numFmtId="0" fontId="5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67" customWidth="1" min="1" max="1"/>
    <col width="31" customWidth="1" min="2" max="2"/>
    <col width="18" customWidth="1" min="3" max="3"/>
    <col width="23" customWidth="1" min="4" max="4"/>
  </cols>
  <sheetData>
    <row r="1">
      <c r="A1" s="1" t="inlineStr">
        <is>
          <t>EU Machinery Corp — Commercial Delivery Estimate</t>
        </is>
      </c>
    </row>
    <row r="2">
      <c r="A2" s="2" t="inlineStr">
        <is>
          <t>Basis: Balanced Staffing Variant (99 FTE-Months) across 4 Phases</t>
        </is>
      </c>
    </row>
    <row r="3"/>
    <row r="4">
      <c r="A4" s="3" t="inlineStr">
        <is>
          <t>Line Item / Delivery Component</t>
        </is>
      </c>
      <c r="B4" s="3" t="inlineStr">
        <is>
          <t>Basis / Unit</t>
        </is>
      </c>
      <c r="C4" s="4" t="inlineStr">
        <is>
          <t>Quantity / Rate</t>
        </is>
      </c>
      <c r="D4" s="4" t="inlineStr">
        <is>
          <t>Total Cost (€)</t>
        </is>
      </c>
    </row>
    <row r="5">
      <c r="A5" s="5" t="inlineStr">
        <is>
          <t>Phase 1: Discovery &amp; Architecture Foundation</t>
        </is>
      </c>
      <c r="B5" s="5" t="inlineStr">
        <is>
          <t>FTE-Months (Blended)</t>
        </is>
      </c>
      <c r="C5" s="6" t="n">
        <v>11.3</v>
      </c>
      <c r="D5" s="7" t="n">
        <v>113000</v>
      </c>
    </row>
    <row r="6">
      <c r="A6" s="5" t="inlineStr">
        <is>
          <t>Phase 2: Integration Backbone &amp; Portal Build</t>
        </is>
      </c>
      <c r="B6" s="5" t="inlineStr">
        <is>
          <t>FTE-Months (Blended)</t>
        </is>
      </c>
      <c r="C6" s="6" t="n">
        <v>57</v>
      </c>
      <c r="D6" s="7" t="n">
        <v>570000</v>
      </c>
    </row>
    <row r="7">
      <c r="A7" s="5" t="inlineStr">
        <is>
          <t>Phase 3: AI Assistant Engine &amp; Regulatory Audit</t>
        </is>
      </c>
      <c r="B7" s="5" t="inlineStr">
        <is>
          <t>FTE-Months (Blended)</t>
        </is>
      </c>
      <c r="C7" s="6" t="n">
        <v>20.75</v>
      </c>
      <c r="D7" s="7" t="n">
        <v>207500</v>
      </c>
    </row>
    <row r="8">
      <c r="A8" s="5" t="inlineStr">
        <is>
          <t>Phase 4: Multi-Site Pilot &amp; Production Cutover</t>
        </is>
      </c>
      <c r="B8" s="5" t="inlineStr">
        <is>
          <t>FTE-Months (Blended)</t>
        </is>
      </c>
      <c r="C8" s="6" t="n">
        <v>9.949999999999999</v>
      </c>
      <c r="D8" s="7" t="n">
        <v>99500</v>
      </c>
    </row>
    <row r="9">
      <c r="A9" s="8" t="inlineStr">
        <is>
          <t>SUBTOTAL BASE EFFORT</t>
        </is>
      </c>
      <c r="B9" s="9" t="inlineStr">
        <is>
          <t>99.0 FTE-Mo @ €10,000/mo avg</t>
        </is>
      </c>
      <c r="C9" s="10" t="inlineStr"/>
      <c r="D9" s="11">
        <f>SUM(D5:D8)</f>
        <v/>
      </c>
    </row>
    <row r="10">
      <c r="A10" s="5" t="inlineStr">
        <is>
          <t>Ramp-up Productivity Lag Impact</t>
        </is>
      </c>
      <c r="B10" s="5" t="inlineStr">
        <is>
          <t>5% of Base Effort</t>
        </is>
      </c>
      <c r="C10" s="6" t="n">
        <v>0.05</v>
      </c>
      <c r="D10" s="7">
        <f>D9*0.05</f>
        <v/>
      </c>
    </row>
    <row r="11">
      <c r="A11" s="5" t="inlineStr">
        <is>
          <t>Sub-Vendor Coordination (CyberGuard EU)</t>
        </is>
      </c>
      <c r="B11" s="5" t="inlineStr">
        <is>
          <t>3% of Base Effort</t>
        </is>
      </c>
      <c r="C11" s="6" t="n">
        <v>0.03</v>
      </c>
      <c r="D11" s="7">
        <f>D9*0.03</f>
        <v/>
      </c>
    </row>
    <row r="12">
      <c r="A12" s="5" t="inlineStr">
        <is>
          <t>Client Dependency Wait &amp; UAT Buffer</t>
        </is>
      </c>
      <c r="B12" s="5" t="inlineStr">
        <is>
          <t>4% of Base Effort</t>
        </is>
      </c>
      <c r="C12" s="6" t="n">
        <v>0.04</v>
      </c>
      <c r="D12" s="7">
        <f>D9*0.04</f>
        <v/>
      </c>
    </row>
    <row r="13">
      <c r="A13" s="8" t="inlineStr">
        <is>
          <t>SUBTOTAL BASE + DELIVERY IMPACTS</t>
        </is>
      </c>
      <c r="B13" s="9" t="inlineStr"/>
      <c r="C13" s="10" t="inlineStr"/>
      <c r="D13" s="11">
        <f>D9+SUM(D10:D12)</f>
        <v/>
      </c>
    </row>
    <row r="14">
      <c r="A14" s="5" t="inlineStr">
        <is>
          <t>Outsourced AI Act Compliance Audit (CyberGuard EU)</t>
        </is>
      </c>
      <c r="B14" s="5" t="inlineStr">
        <is>
          <t>Subcontractor Pass-Through</t>
        </is>
      </c>
      <c r="C14" s="6" t="n">
        <v>1</v>
      </c>
      <c r="D14" s="7" t="n">
        <v>45000</v>
      </c>
    </row>
    <row r="15">
      <c r="A15" s="5" t="inlineStr">
        <is>
          <t>Azure AI Search &amp; OpenAI Gateway Inference Reserve</t>
        </is>
      </c>
      <c r="B15" s="5" t="inlineStr">
        <is>
          <t>Gateway Log Sourced (M800)</t>
        </is>
      </c>
      <c r="C15" s="6" t="n">
        <v>1</v>
      </c>
      <c r="D15" s="7" t="n">
        <v>25000</v>
      </c>
    </row>
    <row r="16">
      <c r="A16" s="12" t="inlineStr">
        <is>
          <t>TOTAL DIRECT DELIVERY COST</t>
        </is>
      </c>
      <c r="B16" s="5" t="inlineStr"/>
      <c r="C16" s="6" t="inlineStr"/>
      <c r="D16" s="13">
        <f>D13+D14+D15</f>
        <v/>
      </c>
    </row>
    <row r="17">
      <c r="A17" s="14" t="inlineStr">
        <is>
          <t>Contingency Reserve (Risk Protection)</t>
        </is>
      </c>
      <c r="B17" s="14" t="inlineStr">
        <is>
          <t>15% on Direct Delivery Cost</t>
        </is>
      </c>
      <c r="C17" s="15" t="n">
        <v>0.15</v>
      </c>
      <c r="D17" s="16">
        <f>D16*0.15</f>
        <v/>
      </c>
    </row>
    <row r="18">
      <c r="A18" s="12" t="inlineStr">
        <is>
          <t>TOTAL COST WITH RISK CONTINGENCY</t>
        </is>
      </c>
      <c r="B18" s="5" t="inlineStr"/>
      <c r="C18" s="6" t="inlineStr"/>
      <c r="D18" s="13">
        <f>D16+D17</f>
        <v/>
      </c>
    </row>
    <row r="19">
      <c r="A19" s="17" t="inlineStr">
        <is>
          <t>Target Commercial Margin (Profit)</t>
        </is>
      </c>
      <c r="B19" s="17" t="inlineStr">
        <is>
          <t>22% Margin on Project Value</t>
        </is>
      </c>
      <c r="C19" s="18" t="n">
        <v>0.22</v>
      </c>
      <c r="D19" s="19">
        <f>D18*(0.22/(1-0.22))</f>
        <v/>
      </c>
    </row>
    <row r="20">
      <c r="A20" s="20" t="inlineStr">
        <is>
          <t>TOTAL FIXED-PRICE PROPOSAL VALUE</t>
        </is>
      </c>
      <c r="B20" s="21" t="inlineStr">
        <is>
          <t>Fixed-Price Milestone Fee</t>
        </is>
      </c>
      <c r="C20" s="22" t="inlineStr"/>
      <c r="D20" s="23">
        <f>D18+D19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6" customWidth="1" min="1" max="1"/>
    <col width="54" customWidth="1" min="2" max="2"/>
    <col width="19" customWidth="1" min="3" max="3"/>
    <col width="15" customWidth="1" min="4" max="4"/>
    <col width="14" customWidth="1" min="5" max="5"/>
    <col width="126" customWidth="1" min="6" max="6"/>
    <col width="29" customWidth="1" min="7" max="7"/>
  </cols>
  <sheetData>
    <row r="1">
      <c r="A1" s="1" t="inlineStr">
        <is>
          <t>Delivery Risk Register &amp; Contingency Sizing</t>
        </is>
      </c>
    </row>
    <row r="2"/>
    <row r="3">
      <c r="A3" s="4" t="inlineStr">
        <is>
          <t>Risk ID</t>
        </is>
      </c>
      <c r="B3" s="3" t="inlineStr">
        <is>
          <t>Risk Description</t>
        </is>
      </c>
      <c r="C3" s="4" t="inlineStr">
        <is>
          <t>Likelihood (1–5)</t>
        </is>
      </c>
      <c r="D3" s="4" t="inlineStr">
        <is>
          <t>Impact (1–5)</t>
        </is>
      </c>
      <c r="E3" s="4" t="inlineStr">
        <is>
          <t>Score (L×I)</t>
        </is>
      </c>
      <c r="F3" s="3" t="inlineStr">
        <is>
          <t>Active Mitigation Strategy</t>
        </is>
      </c>
      <c r="G3" s="3" t="inlineStr">
        <is>
          <t>Contingency Allocation (€)</t>
        </is>
      </c>
    </row>
    <row r="4">
      <c r="A4" s="24" t="inlineStr">
        <is>
          <t>RSK-01</t>
        </is>
      </c>
      <c r="B4" s="5" t="inlineStr">
        <is>
          <t>Undocumented Legacy ERP Middleware Schemas</t>
        </is>
      </c>
      <c r="C4" s="24" t="n">
        <v>4</v>
      </c>
      <c r="D4" s="24" t="n">
        <v>4</v>
      </c>
      <c r="E4" s="24">
        <f>C4*D4</f>
        <v/>
      </c>
      <c r="F4" s="5" t="inlineStr">
        <is>
          <t>Mandatory 4-week architectural discovery phase in M1; freeze legacy schemas prior to Phase 2 build.</t>
        </is>
      </c>
      <c r="G4" s="7" t="n">
        <v>45000</v>
      </c>
    </row>
    <row r="5">
      <c r="A5" s="24" t="inlineStr">
        <is>
          <t>RSK-02</t>
        </is>
      </c>
      <c r="B5" s="5" t="inlineStr">
        <is>
          <t>AI Sales-Ops Quote Hallucination / Pricing Errors</t>
        </is>
      </c>
      <c r="C5" s="24" t="n">
        <v>3</v>
      </c>
      <c r="D5" s="24" t="n">
        <v>5</v>
      </c>
      <c r="E5" s="24">
        <f>C5*D5</f>
        <v/>
      </c>
      <c r="F5" s="5" t="inlineStr">
        <is>
          <t>Implement Azure AI Search RAG guardrails, deterministic pricing lookup tables, and mandatory HITL approval for quotes &gt;€5k.</t>
        </is>
      </c>
      <c r="G5" s="7" t="n">
        <v>35000</v>
      </c>
    </row>
    <row r="6">
      <c r="A6" s="24" t="inlineStr">
        <is>
          <t>RSK-03</t>
        </is>
      </c>
      <c r="B6" s="5" t="inlineStr">
        <is>
          <t>Multi-Site UAT Bottlenecks Across 9 EU Sites</t>
        </is>
      </c>
      <c r="C6" s="24" t="n">
        <v>3</v>
      </c>
      <c r="D6" s="24" t="n">
        <v>4</v>
      </c>
      <c r="E6" s="24">
        <f>C6*D6</f>
        <v/>
      </c>
      <c r="F6" s="5" t="inlineStr">
        <is>
          <t>Phased site rollout (Site 1 Pilot, followed by 2 site clusters); mandatory 5-day defect logging SLA.</t>
        </is>
      </c>
      <c r="G6" s="7" t="n">
        <v>30000</v>
      </c>
    </row>
    <row r="7">
      <c r="A7" s="24" t="inlineStr">
        <is>
          <t>RSK-04</t>
        </is>
      </c>
      <c r="B7" s="5" t="inlineStr">
        <is>
          <t>Third-Party EU AI Act Regulatory Audit Delay</t>
        </is>
      </c>
      <c r="C7" s="24" t="n">
        <v>2</v>
      </c>
      <c r="D7" s="24" t="n">
        <v>4</v>
      </c>
      <c r="E7" s="24">
        <f>C7*D7</f>
        <v/>
      </c>
      <c r="F7" s="5" t="inlineStr">
        <is>
          <t>Shift sub-vendor (CyberGuard EU) to continuous checkpoint audits starting Month 6 rather than end-of-project gate.</t>
        </is>
      </c>
      <c r="G7" s="7" t="n">
        <v>25000</v>
      </c>
    </row>
    <row r="8">
      <c r="A8" s="24" t="inlineStr">
        <is>
          <t>RSK-05</t>
        </is>
      </c>
      <c r="B8" s="5" t="inlineStr">
        <is>
          <t>Azure Landing Zone Admin Access Provisioning Delays</t>
        </is>
      </c>
      <c r="C8" s="24" t="n">
        <v>2</v>
      </c>
      <c r="D8" s="24" t="n">
        <v>3</v>
      </c>
      <c r="E8" s="24">
        <f>C8*D8</f>
        <v/>
      </c>
      <c r="F8" s="5" t="inlineStr">
        <is>
          <t>Prerequisite dependency in contract: Azure access required within 10 business days of kickoff.</t>
        </is>
      </c>
      <c r="G8" s="7" t="n">
        <v>15000</v>
      </c>
    </row>
    <row r="9">
      <c r="A9" s="25" t="inlineStr">
        <is>
          <t>TOTAL SIZED CONTINGENCY</t>
        </is>
      </c>
      <c r="B9" s="26" t="n"/>
      <c r="C9" s="26" t="n"/>
      <c r="D9" s="26" t="n"/>
      <c r="E9" s="26" t="n"/>
      <c r="F9" s="26" t="n"/>
      <c r="G9" s="27">
        <f>SUM(G4:G8)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7" customWidth="1" min="1" max="1"/>
    <col width="19" customWidth="1" min="2" max="2"/>
    <col width="82" customWidth="1" min="3" max="3"/>
    <col width="77" customWidth="1" min="4" max="4"/>
    <col width="73" customWidth="1" min="5" max="5"/>
  </cols>
  <sheetData>
    <row r="1">
      <c r="A1" s="1" t="inlineStr">
        <is>
          <t>Contractual &amp; Delivery Assumptions (Bounded)</t>
        </is>
      </c>
    </row>
    <row r="2"/>
    <row r="3">
      <c r="A3" s="4" t="inlineStr">
        <is>
          <t>ID</t>
        </is>
      </c>
      <c r="B3" s="4" t="inlineStr">
        <is>
          <t>Category</t>
        </is>
      </c>
      <c r="C3" s="3" t="inlineStr">
        <is>
          <t>Bounded Assumption Statement</t>
        </is>
      </c>
      <c r="D3" s="3" t="inlineStr">
        <is>
          <t>Falsifiable Condition / Threshold</t>
        </is>
      </c>
      <c r="E3" s="3" t="inlineStr">
        <is>
          <t>Impact if Breached</t>
        </is>
      </c>
    </row>
    <row r="4">
      <c r="A4" s="24" t="inlineStr">
        <is>
          <t>ASM-01</t>
        </is>
      </c>
      <c r="B4" s="24" t="inlineStr">
        <is>
          <t>Client Resources</t>
        </is>
      </c>
      <c r="C4" s="5" t="inlineStr">
        <is>
          <t>Client provides dedicated legacy ERP domain specialists during Discovery &amp; UAT.</t>
        </is>
      </c>
      <c r="D4" s="5" t="inlineStr">
        <is>
          <t>Minimum 15 hours/week availability in M1–M2 and M10–M12.</t>
        </is>
      </c>
      <c r="E4" s="5" t="inlineStr">
        <is>
          <t>Schedule delay; Change Request for additional EPAM analysis hours.</t>
        </is>
      </c>
    </row>
    <row r="5">
      <c r="A5" s="24" t="inlineStr">
        <is>
          <t>ASM-02</t>
        </is>
      </c>
      <c r="B5" s="24" t="inlineStr">
        <is>
          <t>Data Readiness</t>
        </is>
      </c>
      <c r="C5" s="5" t="inlineStr">
        <is>
          <t>Client provides validated, cleansed, machine-readable price books.</t>
        </is>
      </c>
      <c r="D5" s="5" t="inlineStr">
        <is>
          <t>Client PO formal sign-off on cleansed dataset by end of Month 2.</t>
        </is>
      </c>
      <c r="E5" s="5" t="inlineStr">
        <is>
          <t>Phase 3 AI indexing delayed; client bears cleansing remediation costs.</t>
        </is>
      </c>
    </row>
    <row r="6">
      <c r="A6" s="24" t="inlineStr">
        <is>
          <t>ASM-03</t>
        </is>
      </c>
      <c r="B6" s="24" t="inlineStr">
        <is>
          <t>Turnaround SLA</t>
        </is>
      </c>
      <c r="C6" s="5" t="inlineStr">
        <is>
          <t>Client site leads review and log UAT defects within agreed SLA window.</t>
        </is>
      </c>
      <c r="D6" s="5" t="inlineStr">
        <is>
          <t>Max 5 business days per site review cycle; unlogged items deemed accepted.</t>
        </is>
      </c>
      <c r="E6" s="5" t="inlineStr">
        <is>
          <t>Site cutover timeline extended; project delay fee applied.</t>
        </is>
      </c>
    </row>
    <row r="7">
      <c r="A7" s="24" t="inlineStr">
        <is>
          <t>ASM-04</t>
        </is>
      </c>
      <c r="B7" s="24" t="inlineStr">
        <is>
          <t>Environment</t>
        </is>
      </c>
      <c r="C7" s="5" t="inlineStr">
        <is>
          <t>Azure enterprise tenant with admin privileges is provisioned promptly.</t>
        </is>
      </c>
      <c r="D7" s="5" t="inlineStr">
        <is>
          <t>Full tenant access granted within 10 business days of contract award.</t>
        </is>
      </c>
      <c r="E7" s="5" t="inlineStr">
        <is>
          <t>Day-for-day project milestone shift.</t>
        </is>
      </c>
    </row>
    <row r="8">
      <c r="A8" s="24" t="inlineStr">
        <is>
          <t>ASM-05</t>
        </is>
      </c>
      <c r="B8" s="24" t="inlineStr">
        <is>
          <t>Scope Boundaries</t>
        </is>
      </c>
      <c r="C8" s="5" t="inlineStr">
        <is>
          <t>Legacy ERP underlying database schemas remain frozen during development.</t>
        </is>
      </c>
      <c r="D8" s="5" t="inlineStr">
        <is>
          <t>Zero unannounced schema modifications between Month 2 and Month 12.</t>
        </is>
      </c>
      <c r="E8" s="5" t="inlineStr">
        <is>
          <t>API middleware build rework billed under T&amp;M rate card.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43" customWidth="1" min="1" max="1"/>
    <col width="33" customWidth="1" min="2" max="2"/>
    <col width="64" customWidth="1" min="3" max="3"/>
    <col width="41" customWidth="1" min="4" max="4"/>
    <col width="35" customWidth="1" min="5" max="5"/>
  </cols>
  <sheetData>
    <row r="1">
      <c r="A1" s="1" t="inlineStr">
        <is>
          <t>Commercial Model Decision &amp; Fit Analysis</t>
        </is>
      </c>
    </row>
    <row r="2"/>
    <row r="3">
      <c r="A3" s="3" t="inlineStr">
        <is>
          <t>Commercial Model</t>
        </is>
      </c>
      <c r="B3" s="4" t="inlineStr">
        <is>
          <t>RFP Alignment</t>
        </is>
      </c>
      <c r="C3" s="4" t="inlineStr">
        <is>
          <t>Delivery Risk Fit</t>
        </is>
      </c>
      <c r="D3" s="4" t="inlineStr">
        <is>
          <t>Cash-Flow Fit</t>
        </is>
      </c>
      <c r="E3" s="4" t="inlineStr">
        <is>
          <t>Recommendation Status</t>
        </is>
      </c>
    </row>
    <row r="4">
      <c r="A4" s="5" t="inlineStr">
        <is>
          <t>Pure Time &amp; Materials (T&amp;M)</t>
        </is>
      </c>
      <c r="B4" s="5" t="inlineStr">
        <is>
          <t>Low (RFP requires fixed-price)</t>
        </is>
      </c>
      <c r="C4" s="5" t="inlineStr">
        <is>
          <t>High (Client carries scope risk, EPAM carries no margin risk)</t>
        </is>
      </c>
      <c r="D4" s="5" t="inlineStr">
        <is>
          <t>Poor (Unpredictable buyer billing)</t>
        </is>
      </c>
      <c r="E4" s="5" t="inlineStr">
        <is>
          <t>REJECTED (Fails RFP Constraint)</t>
        </is>
      </c>
    </row>
    <row r="5">
      <c r="A5" s="5" t="inlineStr">
        <is>
          <t>Pure Capped Fixed-Price</t>
        </is>
      </c>
      <c r="B5" s="5" t="inlineStr">
        <is>
          <t>High (Buyer preferred)</t>
        </is>
      </c>
      <c r="C5" s="5" t="inlineStr">
        <is>
          <t>Low (EPAM carries all legacy discovery risk)</t>
        </is>
      </c>
      <c r="D5" s="5" t="inlineStr">
        <is>
          <t>Good (Predictable milestone payments)</t>
        </is>
      </c>
      <c r="E5" s="5" t="inlineStr">
        <is>
          <t>REJECTED (Unbounded Legacy Risk)</t>
        </is>
      </c>
    </row>
    <row r="6">
      <c r="A6" s="5" t="inlineStr">
        <is>
          <t>Hybrid Milestone Fixed-Price (Gated)</t>
        </is>
      </c>
      <c r="B6" s="5" t="inlineStr">
        <is>
          <t>HIGH (Fully satisfies RFP)</t>
        </is>
      </c>
      <c r="C6" s="5" t="inlineStr">
        <is>
          <t>HIGH (Fixed-price milestones bound by Assumption Register)</t>
        </is>
      </c>
      <c r="D6" s="5" t="inlineStr">
        <is>
          <t>EXCELLENT (Tied to 4 phase exit gates)</t>
        </is>
      </c>
      <c r="E6" s="28" t="inlineStr">
        <is>
          <t>RECOMMENDED COMMERCIAL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2026-09-27T19:05:22Z</dcterms:created>
  <dcterms:modified xsi:type="dcterms:W3CDTF">2026-09-27T19:05:22Z</dcterms:modified>
</cp:coreProperties>
</file>